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715" yWindow="1395" windowWidth="20490" windowHeight="1420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<sst xmlns="http://schemas.openxmlformats.org/spreadsheetml/2006/main" count="42" uniqueCount="35">
  <si>
    <t>Closing Statement</t>
  </si>
  <si>
    <r>
      <t xml:space="preserve">Buyer: </t>
    </r>
    <r>
      <rPr>
        <color theme="1"/>
        <family val="2"/>
        <scheme val="minor"/>
        <sz val="11"/>
        <rFont val="Calibri"/>
      </rPr>
      <t>{buyer_name}</t>
    </r>
  </si>
  <si>
    <r>
      <t>Seller:</t>
    </r>
    <r>
      <rPr>
        <color theme="1"/>
        <family val="2"/>
        <scheme val="minor"/>
        <sz val="11"/>
        <rFont val="Calibri"/>
      </rPr>
      <t>{seller_name}</t>
    </r>
  </si>
  <si>
    <r>
      <t xml:space="preserve">Property Address: </t>
    </r>
    <r>
      <rPr>
        <color theme="1"/>
        <family val="2"/>
        <scheme val="minor"/>
        <sz val="11"/>
        <rFont val="Calibri"/>
      </rPr>
      <t>{property_address}</t>
    </r>
  </si>
  <si>
    <r>
      <t xml:space="preserve">Closing Date:  </t>
    </r>
    <r>
      <rPr>
        <color theme="1"/>
        <family val="2"/>
        <scheme val="minor"/>
        <sz val="11"/>
        <rFont val="Calibri"/>
      </rPr>
      <t>{closing_date}</t>
    </r>
  </si>
  <si>
    <t>Seller</t>
  </si>
  <si>
    <t>Description</t>
  </si>
  <si>
    <t>Buyer</t>
  </si>
  <si>
    <t>Debit</t>
  </si>
  <si>
    <t>Credit</t>
  </si>
  <si>
    <t xml:space="preserve">Debit </t>
  </si>
  <si>
    <t>Financials</t>
  </si>
  <si>
    <t>Sales Price of Property</t>
  </si>
  <si>
    <t>Earnest Money Deposit</t>
  </si>
  <si>
    <t>Prorations/Adjustments</t>
  </si>
  <si>
    <t xml:space="preserve">Property Tax </t>
  </si>
  <si>
    <t xml:space="preserve">Homeowner's Insurance Premium </t>
  </si>
  <si>
    <t xml:space="preserve">City Property Tax </t>
  </si>
  <si>
    <t>Land Contract Balance</t>
  </si>
  <si>
    <t>Commission</t>
  </si>
  <si>
    <t>Buyer Broker Gross Commission- {buyer_broker_name}</t>
  </si>
  <si>
    <t>Listing Broker Commission: {listing_broker_name}</t>
  </si>
  <si>
    <t>Miscellaneous</t>
  </si>
  <si>
    <t>Loan Origination Fee: Success</t>
  </si>
  <si>
    <t>Homeowner's Insurance Premium (12 Months)</t>
  </si>
  <si>
    <t xml:space="preserve">Prepaid interest </t>
  </si>
  <si>
    <t>Title Settlement Fee to Aaron Cox</t>
  </si>
  <si>
    <t>City Town Taxes paid by seller</t>
  </si>
  <si>
    <t>County Taxes paid by seller in advance</t>
  </si>
  <si>
    <t>Subtotals</t>
  </si>
  <si>
    <t>Due from Borrower</t>
  </si>
  <si>
    <t>Due from Seller</t>
  </si>
  <si>
    <t>Totals</t>
  </si>
  <si>
    <t>{seller_signatory_name}, authorized agent for {seller_name}, Seller</t>
  </si>
  <si>
    <t>{buyer_name},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</si>
</sst>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8"/>
  <sheetViews>
    <sheetView workbookViewId="0" zoomScale="90" zoomScaleNormal="90">
      <selection activeCell="E20" sqref="E20"/>
    </sheetView>
  </sheetViews>
  <sheetFormatPr defaultRowHeight="15" outlineLevelRow="0" outlineLevelCol="0" x14ac:dyDescent="0.25" defaultColWidth="8.85546875"/>
  <cols>
    <col min="1" max="1" width="11.85546875" customWidth="1"/>
    <col min="2" max="2" width="13.5703125" customWidth="1"/>
    <col min="3" max="3" width="58.7109375" customWidth="1"/>
    <col min="4" max="5" width="11.85546875" customWidth="1"/>
    <col min="6" max="6" width="8.85546875" style="1" customWidth="1"/>
  </cols>
  <sheetData>
    <row r="1" spans="3:3" x14ac:dyDescent="0.25">
      <c r="C1" s="2" t="s">
        <v>0</v>
      </c>
    </row>
    <row r="2" spans="3:3" x14ac:dyDescent="0.25">
      <c r="C2" s="3" t="s">
        <v>1</v>
      </c>
    </row>
    <row r="3" spans="3:3" x14ac:dyDescent="0.25">
      <c r="C3" s="3" t="s">
        <v>2</v>
      </c>
    </row>
    <row r="4" spans="3:3" x14ac:dyDescent="0.25">
      <c r="C4" s="3" t="s">
        <v>3</v>
      </c>
    </row>
    <row r="5" spans="2:3" x14ac:dyDescent="0.25">
      <c r="B5" s="4"/>
      <c r="C5" s="3" t="s">
        <v>4</v>
      </c>
    </row>
    <row r="7" spans="1:5" x14ac:dyDescent="0.25">
      <c r="A7" s="5" t="s">
        <v>5</v>
      </c>
      <c r="B7" s="6"/>
      <c r="C7" s="7" t="s">
        <v>6</v>
      </c>
      <c r="D7" s="5" t="s">
        <v>7</v>
      </c>
      <c r="E7" s="6"/>
    </row>
    <row r="8" spans="1:5" x14ac:dyDescent="0.25">
      <c r="A8" s="5" t="s">
        <v>8</v>
      </c>
      <c r="B8" s="5" t="s">
        <v>9</v>
      </c>
      <c r="C8" s="6"/>
      <c r="D8" s="5" t="s">
        <v>10</v>
      </c>
      <c r="E8" s="5" t="s">
        <v>9</v>
      </c>
    </row>
    <row r="9" spans="1:5" x14ac:dyDescent="0.25">
      <c r="A9" s="8"/>
      <c r="B9" s="8"/>
      <c r="C9" s="7" t="s">
        <v>11</v>
      </c>
      <c r="D9" s="8"/>
      <c r="E9" s="8"/>
    </row>
    <row r="10" spans="1:5" x14ac:dyDescent="0.25">
      <c r="A10" s="8"/>
      <c r="B10" s="8"/>
      <c r="C10" s="5" t="s">
        <v>12</v>
      </c>
      <c r="D10" s="8">
        <v>0</v>
      </c>
      <c r="E10" s="8"/>
    </row>
    <row r="11" spans="1:5" x14ac:dyDescent="0.25">
      <c r="A11" s="8">
        <f>E11</f>
        <v>5000</v>
      </c>
      <c r="B11" s="8"/>
      <c r="C11" s="5" t="s">
        <v>13</v>
      </c>
      <c r="D11" s="8"/>
      <c r="E11" s="8">
        <v>0</v>
      </c>
    </row>
    <row r="12" spans="1:5" x14ac:dyDescent="0.25">
      <c r="A12" s="8"/>
      <c r="B12" s="8"/>
      <c r="C12" s="6"/>
      <c r="D12" s="8"/>
      <c r="E12" s="8"/>
    </row>
    <row r="13" spans="1:5" x14ac:dyDescent="0.25">
      <c r="A13" s="8"/>
      <c r="B13" s="8"/>
      <c r="C13" s="7" t="s">
        <v>14</v>
      </c>
      <c r="D13" s="8"/>
      <c r="E13" s="8"/>
    </row>
    <row r="14" spans="1:5" x14ac:dyDescent="0.25">
      <c r="A14" s="8"/>
      <c r="B14" s="8"/>
      <c r="C14" s="5" t="s">
        <v>15</v>
      </c>
      <c r="D14" s="8">
        <v>0</v>
      </c>
      <c r="E14" s="8"/>
    </row>
    <row r="15" spans="1:5" x14ac:dyDescent="0.25">
      <c r="A15" s="8"/>
      <c r="B15" s="8"/>
      <c r="C15" s="5" t="s">
        <v>16</v>
      </c>
      <c r="D15" s="8">
        <v>0</v>
      </c>
      <c r="E15" s="8"/>
    </row>
    <row r="16" spans="1:5" x14ac:dyDescent="0.25">
      <c r="A16" s="8"/>
      <c r="B16" s="8"/>
      <c r="C16" s="5" t="s">
        <v>17</v>
      </c>
      <c r="D16" s="8">
        <v>0</v>
      </c>
      <c r="E16" s="8"/>
    </row>
    <row r="17" spans="1:5" x14ac:dyDescent="0.25">
      <c r="A17" s="8"/>
      <c r="B17" s="8"/>
      <c r="C17" s="5" t="s">
        <v>18</v>
      </c>
      <c r="D17" s="8"/>
      <c r="E17" s="8">
        <v>0</v>
      </c>
    </row>
    <row r="18" spans="1:5" x14ac:dyDescent="0.25">
      <c r="A18" s="8"/>
      <c r="B18" s="8"/>
      <c r="C18" s="6"/>
      <c r="D18" s="8"/>
      <c r="E18" s="8"/>
    </row>
    <row r="19" spans="1:5" x14ac:dyDescent="0.25">
      <c r="A19" s="8"/>
      <c r="B19" s="8"/>
      <c r="C19" s="7" t="s">
        <v>19</v>
      </c>
      <c r="D19" s="8"/>
      <c r="E19" s="8"/>
    </row>
    <row r="20" spans="1:5" x14ac:dyDescent="0.25">
      <c r="A20" s="8">
        <v>0</v>
      </c>
      <c r="B20" s="8"/>
      <c r="C20" s="5" t="s">
        <v>20</v>
      </c>
      <c r="D20" s="8"/>
      <c r="E20" s="8"/>
    </row>
    <row r="21" spans="1:5" x14ac:dyDescent="0.25">
      <c r="A21" s="8">
        <v>0</v>
      </c>
      <c r="B21" s="8"/>
      <c r="C21" s="5" t="s">
        <v>21</v>
      </c>
      <c r="D21" s="8"/>
      <c r="E21" s="8"/>
    </row>
    <row r="22" spans="1:5" x14ac:dyDescent="0.25">
      <c r="A22" s="8"/>
      <c r="B22" s="8"/>
      <c r="C22" s="6"/>
      <c r="D22" s="8"/>
      <c r="E22" s="8"/>
    </row>
    <row r="23" spans="1:5" x14ac:dyDescent="0.25">
      <c r="A23" s="8"/>
      <c r="B23" s="8"/>
      <c r="C23" s="7" t="s">
        <v>22</v>
      </c>
      <c r="D23" s="8"/>
      <c r="E23" s="8"/>
    </row>
    <row r="24" spans="1:5" x14ac:dyDescent="0.25">
      <c r="A24" s="8"/>
      <c r="B24" s="8"/>
      <c r="C24" s="5" t="s">
        <v>23</v>
      </c>
      <c r="D24" s="8">
        <v>0</v>
      </c>
      <c r="E24" s="8"/>
    </row>
    <row r="25" spans="1:5" x14ac:dyDescent="0.25">
      <c r="A25" s="8"/>
      <c r="B25" s="8"/>
      <c r="C25" s="5" t="s">
        <v>24</v>
      </c>
      <c r="D25" s="8">
        <v>0</v>
      </c>
      <c r="E25" s="8"/>
    </row>
    <row r="26" spans="1:5" x14ac:dyDescent="0.25">
      <c r="A26" s="8"/>
      <c r="B26" s="8"/>
      <c r="C26" s="5" t="s">
        <v>25</v>
      </c>
      <c r="D26" s="8">
        <v>0</v>
      </c>
      <c r="E26" s="8"/>
    </row>
    <row r="27" spans="1:5" x14ac:dyDescent="0.25">
      <c r="A27" s="8"/>
      <c r="B27" s="8"/>
      <c r="C27" s="5" t="s">
        <v>26</v>
      </c>
      <c r="D27" s="8">
        <v>500</v>
      </c>
      <c r="E27" s="8"/>
    </row>
    <row r="28" spans="1:5" x14ac:dyDescent="0.25">
      <c r="A28" s="8"/>
      <c r="B28" s="8">
        <f>D28</f>
        <v>170.35</v>
      </c>
      <c r="C28" s="5" t="s">
        <v>27</v>
      </c>
      <c r="D28" s="8">
        <v>0</v>
      </c>
      <c r="E28" s="8"/>
    </row>
    <row r="29" spans="1:5" x14ac:dyDescent="0.25">
      <c r="A29" s="8"/>
      <c r="B29" s="8">
        <f>D29</f>
        <v>350.87</v>
      </c>
      <c r="C29" s="5" t="s">
        <v>28</v>
      </c>
      <c r="D29" s="8">
        <v>0</v>
      </c>
      <c r="E29" s="8"/>
    </row>
    <row r="30" spans="1:5" x14ac:dyDescent="0.25">
      <c r="A30" s="6"/>
      <c r="B30" s="6"/>
      <c r="C30" s="6"/>
      <c r="D30" s="6"/>
      <c r="E30" s="6"/>
    </row>
    <row r="31" spans="1:5" x14ac:dyDescent="0.25">
      <c r="A31" s="7" t="s">
        <v>5</v>
      </c>
      <c r="B31" s="7"/>
      <c r="C31" s="7"/>
      <c r="D31" s="7" t="s">
        <v>7</v>
      </c>
      <c r="E31" s="7"/>
    </row>
    <row r="32" spans="1:5" x14ac:dyDescent="0.25">
      <c r="A32" s="7" t="s">
        <v>8</v>
      </c>
      <c r="B32" s="7" t="s">
        <v>9</v>
      </c>
      <c r="C32" s="7"/>
      <c r="D32" s="7" t="s">
        <v>10</v>
      </c>
      <c r="E32" s="7" t="s">
        <v>9</v>
      </c>
    </row>
    <row r="33" spans="1:5" x14ac:dyDescent="0.25">
      <c r="A33" s="8">
        <f>SUM(A9:A30)</f>
        <v>10215</v>
      </c>
      <c r="B33" s="8">
        <f>SUM(B9:B30)</f>
        <v>521.22</v>
      </c>
      <c r="C33" s="7" t="s">
        <v>29</v>
      </c>
      <c r="D33" s="8">
        <f>SUM(D9:D30)</f>
        <v>110427.79999999999</v>
      </c>
      <c r="E33" s="8">
        <f>SUM(E9:E30)</f>
        <v>75000</v>
      </c>
    </row>
    <row r="34" spans="1:5" x14ac:dyDescent="0.25">
      <c r="A34" s="8"/>
      <c r="B34" s="8"/>
      <c r="C34" s="7" t="s">
        <v>30</v>
      </c>
      <c r="D34" s="8"/>
      <c r="E34" s="8">
        <f>D33-E33</f>
        <v>35427.79999999999</v>
      </c>
    </row>
    <row r="35" spans="1:5" x14ac:dyDescent="0.25">
      <c r="A35" s="8"/>
      <c r="B35" s="8">
        <f>A33-B33</f>
        <v>9693.78</v>
      </c>
      <c r="C35" s="7" t="s">
        <v>31</v>
      </c>
      <c r="D35" s="8"/>
      <c r="E35" s="8"/>
    </row>
    <row r="36" spans="1:5" x14ac:dyDescent="0.25">
      <c r="A36" s="8">
        <f>SUM(A33:A35)</f>
        <v>10215</v>
      </c>
      <c r="B36" s="8">
        <f>SUM(B33:B35)</f>
        <v>10215</v>
      </c>
      <c r="C36" s="7" t="s">
        <v>32</v>
      </c>
      <c r="D36" s="8">
        <f t="shared" ref="D36:E36" si="0">SUM(D33:D35)</f>
        <v>110427.79999999999</v>
      </c>
      <c r="E36" s="8">
        <f t="shared" si="0"/>
        <v>110427.79999999999</v>
      </c>
    </row>
    <row r="40" spans="3:3" x14ac:dyDescent="0.25">
      <c r="C40" s="9" t="s">
        <v>33</v>
      </c>
    </row>
    <row r="45" spans="3:3" x14ac:dyDescent="0.25">
      <c r="C45" s="9" t="s">
        <v>34</v>
      </c>
    </row>
    <row r="48" spans="3:3" x14ac:dyDescent="0.25">
      <c r="C48" s="10"/>
    </row>
  </sheetData>
  <pageMargins left="0.7" right="0.7" top="0.75" bottom="0.75" header="0.3" footer="0.3"/>
  <pageSetup orientation="portrait" horizontalDpi="4294967295" verticalDpi="4294967295" scale="8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Cox</dc:creator>
  <cp:lastModifiedBy>Liz Ellison</cp:lastModifiedBy>
  <cp:lastPrinted>2021-12-07T17:54:42Z</cp:lastPrinted>
  <dcterms:created xsi:type="dcterms:W3CDTF">2021-10-20T17:06:36Z</dcterms:created>
  <dcterms:modified xsi:type="dcterms:W3CDTF">2024-02-14T22:19:44Z</dcterms:modified>
</cp:coreProperties>
</file>